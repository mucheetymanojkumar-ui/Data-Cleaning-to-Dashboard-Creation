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40" documentId="11_E60897F41BE170836B02CE998F75CCDC64E183C8" xr6:coauthVersionLast="47" xr6:coauthVersionMax="47" xr10:uidLastSave="{836D7925-E538-4630-8F25-4869D92FFEE7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<sst xmlns="http://schemas.openxmlformats.org/spreadsheetml/2006/main" count="90" uniqueCount="58">
  <si>
    <t>Date</t>
  </si>
  <si>
    <t>Product</t>
  </si>
  <si>
    <t>Category</t>
  </si>
  <si>
    <t>Sales</t>
  </si>
  <si>
    <t>Profit</t>
  </si>
  <si>
    <t>Region</t>
  </si>
  <si>
    <t>Customer Name</t>
  </si>
  <si>
    <t>Year</t>
  </si>
  <si>
    <t>Month</t>
  </si>
  <si>
    <t>Quarter</t>
  </si>
  <si>
    <t>Laptop</t>
  </si>
  <si>
    <t>Electronics</t>
  </si>
  <si>
    <t>South</t>
  </si>
  <si>
    <t>Ravi Kumar</t>
  </si>
  <si>
    <t>Headphones</t>
  </si>
  <si>
    <t>North</t>
  </si>
  <si>
    <t>Priya Sharma</t>
  </si>
  <si>
    <t>Office Chair</t>
  </si>
  <si>
    <t>Furniture</t>
  </si>
  <si>
    <t>West</t>
  </si>
  <si>
    <t>Anil Reddy</t>
  </si>
  <si>
    <t>Smartphone</t>
  </si>
  <si>
    <t>East</t>
  </si>
  <si>
    <t>Neha Singh</t>
  </si>
  <si>
    <t>Notebook</t>
  </si>
  <si>
    <t>Stationery</t>
  </si>
  <si>
    <t>Suresh Naidu</t>
  </si>
  <si>
    <t>Table</t>
  </si>
  <si>
    <t>rahuk</t>
  </si>
  <si>
    <t>Printer</t>
  </si>
  <si>
    <t>Deepak Jain</t>
  </si>
  <si>
    <t>Pen Pack</t>
  </si>
  <si>
    <t>Asha Verma</t>
  </si>
  <si>
    <t>Washing Machine</t>
  </si>
  <si>
    <t>Appliances</t>
  </si>
  <si>
    <t>Manoj Kumar</t>
  </si>
  <si>
    <t>Refrigerator</t>
  </si>
  <si>
    <t>Rohit Mehta</t>
  </si>
  <si>
    <t>Sofa Set</t>
  </si>
  <si>
    <t>Pooja Nair</t>
  </si>
  <si>
    <t>TV</t>
  </si>
  <si>
    <t>Harish Rao</t>
  </si>
  <si>
    <t>Mixer Grinder</t>
  </si>
  <si>
    <t>Sneha Das</t>
  </si>
  <si>
    <t>Water Bottle</t>
  </si>
  <si>
    <t>Vinay Gupta</t>
  </si>
  <si>
    <t>Bed</t>
  </si>
  <si>
    <t>Sunita Yadav</t>
  </si>
  <si>
    <t>Tablet</t>
  </si>
  <si>
    <t>Arjun Mishra</t>
  </si>
  <si>
    <t>Fan</t>
  </si>
  <si>
    <t>Divya Joshi</t>
  </si>
  <si>
    <t>Marker Set</t>
  </si>
  <si>
    <t>Rajesh Singh</t>
  </si>
  <si>
    <t>Keyboard</t>
  </si>
  <si>
    <t>Meena Iyer</t>
  </si>
  <si>
    <t>Dining Table</t>
  </si>
  <si>
    <t>Akash Kulkarni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</si>
</sst>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6" sqref="E6"/>
    </sheetView>
  </sheetViews>
  <sheetFormatPr defaultRowHeight="15"/>
  <cols>
    <col min="1" max="1" width="11.140625" bestFit="1" customWidth="1"/>
    <col min="2" max="2" width="16.42578125" bestFit="1" customWidth="1"/>
    <col min="3" max="3" width="10.28515625" bestFit="1" customWidth="1"/>
    <col min="7" max="7" width="15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</row>
    <row r="2" spans="1:10">
      <c r="A2" s="2">
        <v>45659</v>
      </c>
      <c r="B2" t="s">
        <v>10</v>
      </c>
      <c r="C2" t="s">
        <v>11</v>
      </c>
      <c r="D2">
        <v>55000</v>
      </c>
      <c r="E2">
        <f>D2*0.15</f>
        <v>8250</v>
      </c>
      <c r="F2" t="s">
        <v>12</v>
      </c>
      <c r="G2" t="s">
        <v>13</v>
      </c>
      <c r="H2">
        <f>YEAR(A2)</f>
        <v>2025</v>
      </c>
      <c r="I2" t="str">
        <f>TEXT(A2,"MMM")</f>
        <v>Jan</v>
      </c>
      <c r="J2" t="str">
        <f>"Q"&amp;INT((MONTH(A2)-1)/3)+1</f>
        <v>Q1</v>
      </c>
    </row>
    <row r="3" spans="1:10">
      <c r="A3" s="2">
        <v>45660</v>
      </c>
      <c r="B3" t="s">
        <v>14</v>
      </c>
      <c r="C3" t="s">
        <v>11</v>
      </c>
      <c r="D3">
        <v>2000</v>
      </c>
      <c r="E3">
        <f t="shared" ref="E3:E21" si="0">D3*0.15</f>
        <v>300</v>
      </c>
      <c r="F3" t="s">
        <v>15</v>
      </c>
      <c r="G3" t="s">
        <v>16</v>
      </c>
      <c r="H3">
        <f t="shared" ref="H3:H21" si="1">YEAR(A3)</f>
        <v>2025</v>
      </c>
      <c r="I3" t="str">
        <f t="shared" ref="I3:I21" si="2">TEXT(A3,"MMM")</f>
        <v>Jan</v>
      </c>
      <c r="J3" t="str">
        <f t="shared" ref="J3:J23" si="3">"Q"&amp;INT((MONTH(A3)-1)/3)+1</f>
        <v>Q1</v>
      </c>
    </row>
    <row r="4" spans="1:10">
      <c r="A4" s="2">
        <v>45662</v>
      </c>
      <c r="B4" t="s">
        <v>17</v>
      </c>
      <c r="C4" t="s">
        <v>18</v>
      </c>
      <c r="D4">
        <v>8000</v>
      </c>
      <c r="E4">
        <f t="shared" si="0"/>
        <v>1200</v>
      </c>
      <c r="F4" t="s">
        <v>19</v>
      </c>
      <c r="G4" t="s">
        <v>20</v>
      </c>
      <c r="H4">
        <f t="shared" si="1"/>
        <v>2025</v>
      </c>
      <c r="I4" t="str">
        <f t="shared" si="2"/>
        <v>Jan</v>
      </c>
      <c r="J4" t="str">
        <f t="shared" si="3"/>
        <v>Q1</v>
      </c>
    </row>
    <row r="5" spans="1:10">
      <c r="A5" s="2">
        <v>45663</v>
      </c>
      <c r="B5" t="s">
        <v>21</v>
      </c>
      <c r="C5" t="s">
        <v>11</v>
      </c>
      <c r="D5">
        <v>30000</v>
      </c>
      <c r="E5">
        <f t="shared" si="0"/>
        <v>4500</v>
      </c>
      <c r="F5" t="s">
        <v>22</v>
      </c>
      <c r="G5" t="s">
        <v>23</v>
      </c>
      <c r="H5">
        <f t="shared" si="1"/>
        <v>2025</v>
      </c>
      <c r="I5" t="str">
        <f t="shared" si="2"/>
        <v>Jan</v>
      </c>
      <c r="J5" t="str">
        <f t="shared" si="3"/>
        <v>Q1</v>
      </c>
    </row>
    <row r="6" spans="1:10">
      <c r="A6" s="2">
        <v>45664</v>
      </c>
      <c r="B6" t="s">
        <v>24</v>
      </c>
      <c r="C6" t="s">
        <v>25</v>
      </c>
      <c r="D6">
        <v>200</v>
      </c>
      <c r="E6">
        <f t="shared" si="0"/>
        <v>30</v>
      </c>
      <c r="F6" t="s">
        <v>12</v>
      </c>
      <c r="G6" t="s">
        <v>26</v>
      </c>
      <c r="H6">
        <f t="shared" si="1"/>
        <v>2025</v>
      </c>
      <c r="I6" t="str">
        <f t="shared" si="2"/>
        <v>Jan</v>
      </c>
      <c r="J6" t="str">
        <f t="shared" si="3"/>
        <v>Q1</v>
      </c>
    </row>
    <row r="7" spans="1:10">
      <c r="A7" s="2">
        <v>45665</v>
      </c>
      <c r="B7" t="s">
        <v>27</v>
      </c>
      <c r="C7" t="s">
        <v>18</v>
      </c>
      <c r="D7">
        <v>15000</v>
      </c>
      <c r="E7">
        <f t="shared" si="0"/>
        <v>2250</v>
      </c>
      <c r="F7" t="s">
        <v>15</v>
      </c>
      <c r="G7" t="s">
        <v>28</v>
      </c>
      <c r="H7">
        <f t="shared" si="1"/>
        <v>2025</v>
      </c>
      <c r="I7" t="str">
        <f t="shared" si="2"/>
        <v>Jan</v>
      </c>
      <c r="J7" t="str">
        <f t="shared" si="3"/>
        <v>Q1</v>
      </c>
    </row>
    <row r="8" spans="1:10">
      <c r="A8" s="2">
        <v>45667</v>
      </c>
      <c r="B8" t="s">
        <v>29</v>
      </c>
      <c r="C8" t="s">
        <v>11</v>
      </c>
      <c r="D8">
        <v>12000</v>
      </c>
      <c r="E8">
        <f t="shared" si="0"/>
        <v>1800</v>
      </c>
      <c r="F8" t="s">
        <v>19</v>
      </c>
      <c r="G8" t="s">
        <v>30</v>
      </c>
      <c r="H8">
        <f t="shared" si="1"/>
        <v>2025</v>
      </c>
      <c r="I8" t="str">
        <f t="shared" si="2"/>
        <v>Jan</v>
      </c>
      <c r="J8" t="str">
        <f t="shared" si="3"/>
        <v>Q1</v>
      </c>
    </row>
    <row r="9" spans="1:10">
      <c r="A9" s="2">
        <v>45668</v>
      </c>
      <c r="B9" t="s">
        <v>31</v>
      </c>
      <c r="C9" t="s">
        <v>25</v>
      </c>
      <c r="D9">
        <v>150</v>
      </c>
      <c r="E9">
        <f t="shared" si="0"/>
        <v>22.5</v>
      </c>
      <c r="F9" t="s">
        <v>22</v>
      </c>
      <c r="G9" t="s">
        <v>32</v>
      </c>
      <c r="H9">
        <f t="shared" si="1"/>
        <v>2025</v>
      </c>
      <c r="I9" t="str">
        <f t="shared" si="2"/>
        <v>Jan</v>
      </c>
      <c r="J9" t="str">
        <f t="shared" si="3"/>
        <v>Q1</v>
      </c>
    </row>
    <row r="10" spans="1:10">
      <c r="A10" s="2">
        <v>45669</v>
      </c>
      <c r="B10" t="s">
        <v>33</v>
      </c>
      <c r="C10" t="s">
        <v>34</v>
      </c>
      <c r="D10">
        <v>28000</v>
      </c>
      <c r="E10">
        <f t="shared" si="0"/>
        <v>4200</v>
      </c>
      <c r="F10" t="s">
        <v>12</v>
      </c>
      <c r="G10" t="s">
        <v>35</v>
      </c>
      <c r="H10">
        <f t="shared" si="1"/>
        <v>2025</v>
      </c>
      <c r="I10" t="str">
        <f t="shared" si="2"/>
        <v>Jan</v>
      </c>
      <c r="J10" t="str">
        <f t="shared" si="3"/>
        <v>Q1</v>
      </c>
    </row>
    <row r="11" spans="1:10">
      <c r="A11" s="2">
        <v>45670</v>
      </c>
      <c r="B11" t="s">
        <v>36</v>
      </c>
      <c r="C11" t="s">
        <v>34</v>
      </c>
      <c r="D11">
        <v>40000</v>
      </c>
      <c r="E11">
        <f t="shared" si="0"/>
        <v>6000</v>
      </c>
      <c r="F11" t="s">
        <v>15</v>
      </c>
      <c r="G11" t="s">
        <v>37</v>
      </c>
      <c r="H11">
        <f t="shared" si="1"/>
        <v>2025</v>
      </c>
      <c r="I11" t="str">
        <f t="shared" si="2"/>
        <v>Jan</v>
      </c>
      <c r="J11" t="str">
        <f t="shared" si="3"/>
        <v>Q1</v>
      </c>
    </row>
    <row r="12" spans="1:10">
      <c r="A12" s="2">
        <v>45671</v>
      </c>
      <c r="B12" t="s">
        <v>38</v>
      </c>
      <c r="C12" t="s">
        <v>18</v>
      </c>
      <c r="D12">
        <v>50000</v>
      </c>
      <c r="E12">
        <f t="shared" si="0"/>
        <v>7500</v>
      </c>
      <c r="F12" t="s">
        <v>19</v>
      </c>
      <c r="G12" t="s">
        <v>39</v>
      </c>
      <c r="H12">
        <f t="shared" si="1"/>
        <v>2025</v>
      </c>
      <c r="I12" t="str">
        <f t="shared" si="2"/>
        <v>Jan</v>
      </c>
      <c r="J12" t="str">
        <f t="shared" si="3"/>
        <v>Q1</v>
      </c>
    </row>
    <row r="13" spans="1:10">
      <c r="A13" s="2">
        <v>45672</v>
      </c>
      <c r="B13" t="s">
        <v>40</v>
      </c>
      <c r="C13" t="s">
        <v>11</v>
      </c>
      <c r="D13">
        <v>35000</v>
      </c>
      <c r="E13">
        <f t="shared" si="0"/>
        <v>5250</v>
      </c>
      <c r="F13" t="s">
        <v>22</v>
      </c>
      <c r="G13" t="s">
        <v>41</v>
      </c>
      <c r="H13">
        <f t="shared" si="1"/>
        <v>2025</v>
      </c>
      <c r="I13" t="str">
        <f t="shared" si="2"/>
        <v>Jan</v>
      </c>
      <c r="J13" t="str">
        <f t="shared" si="3"/>
        <v>Q1</v>
      </c>
    </row>
    <row r="14" spans="1:10">
      <c r="A14" s="2">
        <v>45673</v>
      </c>
      <c r="B14" t="s">
        <v>42</v>
      </c>
      <c r="C14" t="s">
        <v>34</v>
      </c>
      <c r="D14">
        <v>4500</v>
      </c>
      <c r="E14">
        <f t="shared" si="0"/>
        <v>675</v>
      </c>
      <c r="F14" t="s">
        <v>12</v>
      </c>
      <c r="G14" t="s">
        <v>43</v>
      </c>
      <c r="H14">
        <f t="shared" si="1"/>
        <v>2025</v>
      </c>
      <c r="I14" t="str">
        <f t="shared" si="2"/>
        <v>Jan</v>
      </c>
      <c r="J14" t="str">
        <f t="shared" si="3"/>
        <v>Q1</v>
      </c>
    </row>
    <row r="15" spans="1:10">
      <c r="A15" s="2">
        <v>45674</v>
      </c>
      <c r="B15" t="s">
        <v>44</v>
      </c>
      <c r="C15" t="s">
        <v>25</v>
      </c>
      <c r="D15">
        <v>300</v>
      </c>
      <c r="E15">
        <f t="shared" si="0"/>
        <v>45</v>
      </c>
      <c r="F15" t="s">
        <v>15</v>
      </c>
      <c r="G15" t="s">
        <v>45</v>
      </c>
      <c r="H15">
        <f t="shared" si="1"/>
        <v>2025</v>
      </c>
      <c r="I15" t="str">
        <f t="shared" si="2"/>
        <v>Jan</v>
      </c>
      <c r="J15" t="str">
        <f t="shared" si="3"/>
        <v>Q1</v>
      </c>
    </row>
    <row r="16" spans="1:10">
      <c r="A16" s="2">
        <v>45675</v>
      </c>
      <c r="B16" t="s">
        <v>46</v>
      </c>
      <c r="C16" t="s">
        <v>18</v>
      </c>
      <c r="D16">
        <v>25000</v>
      </c>
      <c r="E16">
        <f t="shared" si="0"/>
        <v>3750</v>
      </c>
      <c r="F16" t="s">
        <v>19</v>
      </c>
      <c r="G16" t="s">
        <v>47</v>
      </c>
      <c r="H16">
        <f t="shared" si="1"/>
        <v>2025</v>
      </c>
      <c r="I16" t="str">
        <f t="shared" si="2"/>
        <v>Jan</v>
      </c>
      <c r="J16" t="str">
        <f t="shared" si="3"/>
        <v>Q1</v>
      </c>
    </row>
    <row r="17" spans="1:10">
      <c r="A17" s="2">
        <v>45676</v>
      </c>
      <c r="B17" t="s">
        <v>48</v>
      </c>
      <c r="C17" t="s">
        <v>11</v>
      </c>
      <c r="D17">
        <v>22000</v>
      </c>
      <c r="E17">
        <f t="shared" si="0"/>
        <v>3300</v>
      </c>
      <c r="F17" t="s">
        <v>22</v>
      </c>
      <c r="G17" t="s">
        <v>49</v>
      </c>
      <c r="H17">
        <f t="shared" si="1"/>
        <v>2025</v>
      </c>
      <c r="I17" t="str">
        <f t="shared" si="2"/>
        <v>Jan</v>
      </c>
      <c r="J17" t="str">
        <f t="shared" si="3"/>
        <v>Q1</v>
      </c>
    </row>
    <row r="18" spans="1:10">
      <c r="A18" s="2">
        <v>45677</v>
      </c>
      <c r="B18" t="s">
        <v>50</v>
      </c>
      <c r="C18" t="s">
        <v>34</v>
      </c>
      <c r="D18">
        <v>3500</v>
      </c>
      <c r="E18">
        <f t="shared" si="0"/>
        <v>525</v>
      </c>
      <c r="F18" t="s">
        <v>12</v>
      </c>
      <c r="G18" t="s">
        <v>51</v>
      </c>
      <c r="H18">
        <f t="shared" si="1"/>
        <v>2025</v>
      </c>
      <c r="I18" t="str">
        <f t="shared" si="2"/>
        <v>Jan</v>
      </c>
      <c r="J18" t="str">
        <f t="shared" si="3"/>
        <v>Q1</v>
      </c>
    </row>
    <row r="19" spans="1:10">
      <c r="A19" s="2">
        <v>45678</v>
      </c>
      <c r="B19" t="s">
        <v>52</v>
      </c>
      <c r="C19" t="s">
        <v>25</v>
      </c>
      <c r="D19">
        <v>400</v>
      </c>
      <c r="E19">
        <f t="shared" si="0"/>
        <v>60</v>
      </c>
      <c r="F19" t="s">
        <v>15</v>
      </c>
      <c r="G19" t="s">
        <v>53</v>
      </c>
      <c r="H19">
        <f t="shared" si="1"/>
        <v>2025</v>
      </c>
      <c r="I19" t="str">
        <f t="shared" si="2"/>
        <v>Jan</v>
      </c>
      <c r="J19" t="str">
        <f t="shared" si="3"/>
        <v>Q1</v>
      </c>
    </row>
    <row r="20" spans="1:10">
      <c r="A20" s="2">
        <v>45679</v>
      </c>
      <c r="B20" t="s">
        <v>54</v>
      </c>
      <c r="C20" t="s">
        <v>11</v>
      </c>
      <c r="D20">
        <v>2500</v>
      </c>
      <c r="E20">
        <f t="shared" si="0"/>
        <v>375</v>
      </c>
      <c r="F20" t="s">
        <v>19</v>
      </c>
      <c r="G20" t="s">
        <v>55</v>
      </c>
      <c r="H20">
        <f t="shared" si="1"/>
        <v>2025</v>
      </c>
      <c r="I20" t="str">
        <f t="shared" si="2"/>
        <v>Jan</v>
      </c>
      <c r="J20" t="str">
        <f t="shared" si="3"/>
        <v>Q1</v>
      </c>
    </row>
    <row r="21" spans="1:10">
      <c r="A21" s="2">
        <v>45680</v>
      </c>
      <c r="B21" t="s">
        <v>56</v>
      </c>
      <c r="C21" t="s">
        <v>18</v>
      </c>
      <c r="D21">
        <v>32000</v>
      </c>
      <c r="E21">
        <f t="shared" si="0"/>
        <v>4800</v>
      </c>
      <c r="F21" t="s">
        <v>22</v>
      </c>
      <c r="G21" t="s">
        <v>57</v>
      </c>
      <c r="H21">
        <f t="shared" si="1"/>
        <v>2025</v>
      </c>
      <c r="I21" t="str">
        <f t="shared" si="2"/>
        <v>Jan</v>
      </c>
      <c r="J21" t="str">
        <f t="shared" si="3"/>
        <v>Q1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Manoj Mucheety</cp:lastModifiedBy>
  <cp:revision/>
  <dcterms:created xsi:type="dcterms:W3CDTF">2026-02-05T03:36:15Z</dcterms:created>
  <dcterms:modified xsi:type="dcterms:W3CDTF">2026-02-05T04:11:45Z</dcterms:modified>
  <cp:category/>
  <cp:contentStatus/>
</cp:coreProperties>
</file>